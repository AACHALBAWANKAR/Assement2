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CD\Desktop\"/>
    </mc:Choice>
  </mc:AlternateContent>
  <xr:revisionPtr revIDLastSave="0" documentId="13_ncr:1_{1B042131-F7DE-4CB4-AE69-69A2433CD759}" xr6:coauthVersionLast="47" xr6:coauthVersionMax="47" xr10:uidLastSave="{00000000-0000-0000-0000-000000000000}"/>
  <bookViews>
    <workbookView xWindow="-120" yWindow="-120" windowWidth="20730" windowHeight="11160" xr2:uid="{6DC770E6-7495-4770-B67E-D1F548D22809}"/>
  </bookViews>
  <sheets>
    <sheet name="Sales_Data" sheetId="1" r:id="rId1"/>
    <sheet name="Product_Master" sheetId="2" r:id="rId2"/>
    <sheet name="Monthly Targ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J3" i="1"/>
  <c r="J4" i="1"/>
  <c r="J5" i="1"/>
  <c r="J6" i="1"/>
  <c r="J7" i="1"/>
  <c r="J8" i="1"/>
  <c r="J9" i="1"/>
  <c r="J10" i="1"/>
  <c r="J11" i="1"/>
  <c r="I3" i="1"/>
  <c r="I4" i="1"/>
  <c r="I5" i="1"/>
  <c r="I6" i="1"/>
  <c r="I7" i="1"/>
  <c r="I8" i="1"/>
  <c r="I9" i="1"/>
  <c r="I10" i="1"/>
  <c r="I11" i="1"/>
  <c r="I2" i="1"/>
  <c r="K2" i="1" s="1"/>
  <c r="H3" i="1"/>
  <c r="H4" i="1"/>
  <c r="H5" i="1"/>
  <c r="H6" i="1"/>
  <c r="H7" i="1"/>
  <c r="H8" i="1"/>
  <c r="H9" i="1"/>
  <c r="H10" i="1"/>
  <c r="H11" i="1"/>
  <c r="H2" i="1"/>
  <c r="G2" i="1"/>
  <c r="G3" i="1"/>
  <c r="G4" i="1"/>
  <c r="G5" i="1"/>
  <c r="G6" i="1"/>
  <c r="G7" i="1"/>
  <c r="G8" i="1"/>
  <c r="G9" i="1"/>
  <c r="G10" i="1"/>
  <c r="G11" i="1"/>
  <c r="J2" i="1" l="1"/>
</calcChain>
</file>

<file path=xl/sharedStrings.xml><?xml version="1.0" encoding="utf-8"?>
<sst xmlns="http://schemas.openxmlformats.org/spreadsheetml/2006/main" count="76" uniqueCount="51">
  <si>
    <t>Employee ID</t>
  </si>
  <si>
    <t>Employee Name</t>
  </si>
  <si>
    <t>Region</t>
  </si>
  <si>
    <t>Product ID</t>
  </si>
  <si>
    <t>Units Sold</t>
  </si>
  <si>
    <t>Sales Amount</t>
  </si>
  <si>
    <t>E101</t>
  </si>
  <si>
    <t>Rahul Mehta</t>
  </si>
  <si>
    <t>North</t>
  </si>
  <si>
    <t>P001</t>
  </si>
  <si>
    <t>E102</t>
  </si>
  <si>
    <t>Priya Sharma</t>
  </si>
  <si>
    <t>South</t>
  </si>
  <si>
    <t>P002</t>
  </si>
  <si>
    <t>E103</t>
  </si>
  <si>
    <t>Aman Verma</t>
  </si>
  <si>
    <t>East</t>
  </si>
  <si>
    <t>P003</t>
  </si>
  <si>
    <t>E104</t>
  </si>
  <si>
    <t>Sneha Patel</t>
  </si>
  <si>
    <t>West</t>
  </si>
  <si>
    <t>P004</t>
  </si>
  <si>
    <t>E105</t>
  </si>
  <si>
    <t>Rohan Gupta</t>
  </si>
  <si>
    <t>P005</t>
  </si>
  <si>
    <t>E106</t>
  </si>
  <si>
    <t>Meena Iyer</t>
  </si>
  <si>
    <t>E107</t>
  </si>
  <si>
    <t>Deepak Rao</t>
  </si>
  <si>
    <t>E108</t>
  </si>
  <si>
    <t>Kavita Das</t>
  </si>
  <si>
    <t>E109</t>
  </si>
  <si>
    <t>Ajay Nair</t>
  </si>
  <si>
    <t>E110</t>
  </si>
  <si>
    <t>Neha Kulkarni</t>
  </si>
  <si>
    <t>Product Name</t>
  </si>
  <si>
    <t>Category</t>
  </si>
  <si>
    <t>Price per Unit</t>
  </si>
  <si>
    <t>Laptop</t>
  </si>
  <si>
    <t>Electronics</t>
  </si>
  <si>
    <t>Smartphone</t>
  </si>
  <si>
    <t>Headphones</t>
  </si>
  <si>
    <t>Accessories</t>
  </si>
  <si>
    <t>Printer</t>
  </si>
  <si>
    <t>Office Supplies</t>
  </si>
  <si>
    <t>Monitor</t>
  </si>
  <si>
    <t>Target Sales</t>
  </si>
  <si>
    <t>price per unit</t>
  </si>
  <si>
    <t>Total Sales Value</t>
  </si>
  <si>
    <t>Total Revenue</t>
  </si>
  <si>
    <t>Actual Regional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</si>
</sst>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6C363-E3FA-46E8-8B7D-13D805B58A1E}">
  <dimension ref="A1:K11"/>
  <sheetViews>
    <sheetView tabSelected="1" workbookViewId="0">
      <selection activeCell="J16" sqref="J16"/>
    </sheetView>
  </sheetViews>
  <sheetFormatPr defaultRowHeight="15" x14ac:dyDescent="0.25"/>
  <cols>
    <col min="1" max="1" width="10.7109375" bestFit="1" customWidth="1"/>
    <col min="2" max="2" width="14" bestFit="1" customWidth="1"/>
    <col min="5" max="5" width="8.7109375" bestFit="1" customWidth="1"/>
    <col min="6" max="6" width="11.7109375" bestFit="1" customWidth="1"/>
    <col min="7" max="7" width="12.7109375" customWidth="1"/>
    <col min="8" max="8" width="11.5703125" bestFit="1" customWidth="1"/>
    <col min="9" max="9" width="14.140625" bestFit="1" customWidth="1"/>
    <col min="10" max="10" width="17.7109375" customWidth="1"/>
    <col min="11" max="11" width="22.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35</v>
      </c>
      <c r="H1" s="1" t="s">
        <v>47</v>
      </c>
      <c r="I1" s="1" t="s">
        <v>48</v>
      </c>
      <c r="J1" s="1" t="s">
        <v>49</v>
      </c>
      <c r="K1" s="3" t="s">
        <v>50</v>
      </c>
    </row>
    <row r="2" spans="1:11" x14ac:dyDescent="0.25">
      <c r="A2" s="2" t="s">
        <v>6</v>
      </c>
      <c r="B2" s="2" t="s">
        <v>7</v>
      </c>
      <c r="C2" s="2" t="s">
        <v>8</v>
      </c>
      <c r="D2" s="2" t="s">
        <v>9</v>
      </c>
      <c r="E2" s="2">
        <v>136.33333333333334</v>
      </c>
      <c r="F2" s="2">
        <v>45000</v>
      </c>
      <c r="G2" t="str">
        <f>VLOOKUP(D2,Product_Master!A:D,2,FALSE)</f>
        <v>Laptop</v>
      </c>
      <c r="H2">
        <f>VLOOKUP(D2,Product_Master!A:D,4,FALSE)</f>
        <v>3000</v>
      </c>
      <c r="I2">
        <f>E2*H2</f>
        <v>409000</v>
      </c>
      <c r="J2">
        <f>SUM(I2:I11)</f>
        <v>1000000</v>
      </c>
      <c r="K2">
        <f>'Monthly Target'!B2-Sales_Data!I2</f>
        <v>-259000</v>
      </c>
    </row>
    <row r="3" spans="1:1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>
        <v>20</v>
      </c>
      <c r="F3" s="2">
        <v>60000</v>
      </c>
      <c r="G3" t="str">
        <f>VLOOKUP(D3,Product_Master!A:D,2,FALSE)</f>
        <v>Smartphone</v>
      </c>
      <c r="H3">
        <f>VLOOKUP(D3,Product_Master!A:D,4,FALSE)</f>
        <v>3000</v>
      </c>
      <c r="I3">
        <f t="shared" ref="I3:I11" si="0">E3*H3</f>
        <v>60000</v>
      </c>
      <c r="J3">
        <f t="shared" ref="J3:J11" si="1">SUM(I3:I12)</f>
        <v>591000</v>
      </c>
      <c r="K3">
        <f>'Monthly Target'!B3-Sales_Data!I3</f>
        <v>-60000</v>
      </c>
    </row>
    <row r="4" spans="1:11" x14ac:dyDescent="0.25">
      <c r="A4" s="2" t="s">
        <v>14</v>
      </c>
      <c r="B4" s="2" t="s">
        <v>15</v>
      </c>
      <c r="C4" s="2" t="s">
        <v>16</v>
      </c>
      <c r="D4" s="2" t="s">
        <v>17</v>
      </c>
      <c r="E4" s="2">
        <v>10</v>
      </c>
      <c r="F4" s="2">
        <v>35000</v>
      </c>
      <c r="G4" t="str">
        <f>VLOOKUP(D4,Product_Master!A:D,2,FALSE)</f>
        <v>Headphones</v>
      </c>
      <c r="H4">
        <f>VLOOKUP(D4,Product_Master!A:D,4,FALSE)</f>
        <v>3500</v>
      </c>
      <c r="I4">
        <f t="shared" si="0"/>
        <v>35000</v>
      </c>
      <c r="J4">
        <f t="shared" si="1"/>
        <v>531000</v>
      </c>
      <c r="K4">
        <f>'Monthly Target'!B4-Sales_Data!I4</f>
        <v>-35000</v>
      </c>
    </row>
    <row r="5" spans="1:11" x14ac:dyDescent="0.25">
      <c r="A5" s="2" t="s">
        <v>18</v>
      </c>
      <c r="B5" s="2" t="s">
        <v>19</v>
      </c>
      <c r="C5" s="2" t="s">
        <v>20</v>
      </c>
      <c r="D5" s="2" t="s">
        <v>21</v>
      </c>
      <c r="E5" s="2">
        <v>25</v>
      </c>
      <c r="F5" s="2">
        <v>125000</v>
      </c>
      <c r="G5" t="str">
        <f>VLOOKUP(D5,Product_Master!A:D,2,FALSE)</f>
        <v>Printer</v>
      </c>
      <c r="H5">
        <f>VLOOKUP(D5,Product_Master!A:D,4,FALSE)</f>
        <v>5000</v>
      </c>
      <c r="I5">
        <f t="shared" si="0"/>
        <v>125000</v>
      </c>
      <c r="J5">
        <f t="shared" si="1"/>
        <v>496000</v>
      </c>
      <c r="K5">
        <f>'Monthly Target'!B5-Sales_Data!I5</f>
        <v>-125000</v>
      </c>
    </row>
    <row r="6" spans="1:11" x14ac:dyDescent="0.25">
      <c r="A6" s="2" t="s">
        <v>22</v>
      </c>
      <c r="B6" s="2" t="s">
        <v>23</v>
      </c>
      <c r="C6" s="2" t="s">
        <v>8</v>
      </c>
      <c r="D6" s="2" t="s">
        <v>24</v>
      </c>
      <c r="E6" s="2">
        <v>12</v>
      </c>
      <c r="F6" s="2">
        <v>48000</v>
      </c>
      <c r="G6" t="str">
        <f>VLOOKUP(D6,Product_Master!A:D,2,FALSE)</f>
        <v>Monitor</v>
      </c>
      <c r="H6">
        <f>VLOOKUP(D6,Product_Master!A:D,4,FALSE)</f>
        <v>4000</v>
      </c>
      <c r="I6">
        <f t="shared" si="0"/>
        <v>48000</v>
      </c>
      <c r="J6">
        <f t="shared" si="1"/>
        <v>371000</v>
      </c>
      <c r="K6">
        <f>'Monthly Target'!B6-Sales_Data!I6</f>
        <v>-48000</v>
      </c>
    </row>
    <row r="7" spans="1:11" x14ac:dyDescent="0.25">
      <c r="A7" s="2" t="s">
        <v>25</v>
      </c>
      <c r="B7" s="2" t="s">
        <v>26</v>
      </c>
      <c r="C7" s="2" t="s">
        <v>16</v>
      </c>
      <c r="D7" s="2" t="s">
        <v>13</v>
      </c>
      <c r="E7" s="2">
        <v>18</v>
      </c>
      <c r="F7" s="2">
        <v>54000</v>
      </c>
      <c r="G7" t="str">
        <f>VLOOKUP(D7,Product_Master!A:D,2,FALSE)</f>
        <v>Smartphone</v>
      </c>
      <c r="H7">
        <f>VLOOKUP(D7,Product_Master!A:D,4,FALSE)</f>
        <v>3000</v>
      </c>
      <c r="I7">
        <f t="shared" si="0"/>
        <v>54000</v>
      </c>
      <c r="J7">
        <f t="shared" si="1"/>
        <v>323000</v>
      </c>
      <c r="K7">
        <f>'Monthly Target'!B7-Sales_Data!I7</f>
        <v>-54000</v>
      </c>
    </row>
    <row r="8" spans="1:11" x14ac:dyDescent="0.25">
      <c r="A8" s="2" t="s">
        <v>27</v>
      </c>
      <c r="B8" s="2" t="s">
        <v>28</v>
      </c>
      <c r="C8" s="2" t="s">
        <v>12</v>
      </c>
      <c r="D8" s="2" t="s">
        <v>17</v>
      </c>
      <c r="E8" s="2">
        <v>22</v>
      </c>
      <c r="F8" s="2">
        <v>77000</v>
      </c>
      <c r="G8" t="str">
        <f>VLOOKUP(D8,Product_Master!A:D,2,FALSE)</f>
        <v>Headphones</v>
      </c>
      <c r="H8">
        <f>VLOOKUP(D8,Product_Master!A:D,4,FALSE)</f>
        <v>3500</v>
      </c>
      <c r="I8">
        <f t="shared" si="0"/>
        <v>77000</v>
      </c>
      <c r="J8">
        <f t="shared" si="1"/>
        <v>269000</v>
      </c>
      <c r="K8">
        <f>'Monthly Target'!B8-Sales_Data!I8</f>
        <v>-77000</v>
      </c>
    </row>
    <row r="9" spans="1:11" x14ac:dyDescent="0.25">
      <c r="A9" s="2" t="s">
        <v>29</v>
      </c>
      <c r="B9" s="2" t="s">
        <v>30</v>
      </c>
      <c r="C9" s="2" t="s">
        <v>20</v>
      </c>
      <c r="D9" s="2" t="s">
        <v>9</v>
      </c>
      <c r="E9" s="2">
        <v>30</v>
      </c>
      <c r="F9" s="2">
        <v>90000</v>
      </c>
      <c r="G9" t="str">
        <f>VLOOKUP(D9,Product_Master!A:D,2,FALSE)</f>
        <v>Laptop</v>
      </c>
      <c r="H9">
        <f>VLOOKUP(D9,Product_Master!A:D,4,FALSE)</f>
        <v>3000</v>
      </c>
      <c r="I9">
        <f t="shared" si="0"/>
        <v>90000</v>
      </c>
      <c r="J9">
        <f t="shared" si="1"/>
        <v>192000</v>
      </c>
      <c r="K9">
        <f>'Monthly Target'!B9-Sales_Data!I9</f>
        <v>-90000</v>
      </c>
    </row>
    <row r="10" spans="1:11" x14ac:dyDescent="0.25">
      <c r="A10" s="2" t="s">
        <v>31</v>
      </c>
      <c r="B10" s="2" t="s">
        <v>32</v>
      </c>
      <c r="C10" s="2" t="s">
        <v>8</v>
      </c>
      <c r="D10" s="2" t="s">
        <v>21</v>
      </c>
      <c r="E10" s="2">
        <v>14</v>
      </c>
      <c r="F10" s="2">
        <v>70000</v>
      </c>
      <c r="G10" t="str">
        <f>VLOOKUP(D10,Product_Master!A:D,2,FALSE)</f>
        <v>Printer</v>
      </c>
      <c r="H10">
        <f>VLOOKUP(D10,Product_Master!A:D,4,FALSE)</f>
        <v>5000</v>
      </c>
      <c r="I10">
        <f t="shared" si="0"/>
        <v>70000</v>
      </c>
      <c r="J10">
        <f t="shared" si="1"/>
        <v>102000</v>
      </c>
      <c r="K10">
        <f>'Monthly Target'!B10-Sales_Data!I10</f>
        <v>-70000</v>
      </c>
    </row>
    <row r="11" spans="1:11" x14ac:dyDescent="0.25">
      <c r="A11" s="2" t="s">
        <v>33</v>
      </c>
      <c r="B11" s="2" t="s">
        <v>34</v>
      </c>
      <c r="C11" s="2" t="s">
        <v>16</v>
      </c>
      <c r="D11" s="2" t="s">
        <v>24</v>
      </c>
      <c r="E11" s="2">
        <v>8</v>
      </c>
      <c r="F11" s="2">
        <v>32000</v>
      </c>
      <c r="G11" t="str">
        <f>VLOOKUP(D11,Product_Master!A:D,2,FALSE)</f>
        <v>Monitor</v>
      </c>
      <c r="H11">
        <f>VLOOKUP(D11,Product_Master!A:D,4,FALSE)</f>
        <v>4000</v>
      </c>
      <c r="I11">
        <f t="shared" si="0"/>
        <v>32000</v>
      </c>
      <c r="J11">
        <f t="shared" si="1"/>
        <v>32000</v>
      </c>
      <c r="K11">
        <f>'Monthly Target'!B11-Sales_Data!I11</f>
        <v>-32000</v>
      </c>
    </row>
  </sheetData>
  <conditionalFormatting sqref="J2:J11">
    <cfRule type="expression" dxfId="1" priority="1">
      <formula>I2&lt;J2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CA4C8-65FE-4E89-B344-450978E53CBA}">
  <dimension ref="A1:D6"/>
  <sheetViews>
    <sheetView workbookViewId="0">
      <selection activeCell="F5" sqref="F5"/>
    </sheetView>
  </sheetViews>
  <sheetFormatPr defaultRowHeight="15" x14ac:dyDescent="0.25"/>
  <sheetData>
    <row r="1" spans="1:4" x14ac:dyDescent="0.25">
      <c r="A1" s="1" t="s">
        <v>3</v>
      </c>
      <c r="B1" s="1" t="s">
        <v>35</v>
      </c>
      <c r="C1" s="1" t="s">
        <v>36</v>
      </c>
      <c r="D1" s="1" t="s">
        <v>37</v>
      </c>
    </row>
    <row r="2" spans="1:4" x14ac:dyDescent="0.25">
      <c r="A2" s="2" t="s">
        <v>9</v>
      </c>
      <c r="B2" s="2" t="s">
        <v>38</v>
      </c>
      <c r="C2" s="2" t="s">
        <v>39</v>
      </c>
      <c r="D2" s="2">
        <v>3000</v>
      </c>
    </row>
    <row r="3" spans="1:4" x14ac:dyDescent="0.25">
      <c r="A3" s="2" t="s">
        <v>13</v>
      </c>
      <c r="B3" s="2" t="s">
        <v>40</v>
      </c>
      <c r="C3" s="2" t="s">
        <v>39</v>
      </c>
      <c r="D3" s="2">
        <v>3000</v>
      </c>
    </row>
    <row r="4" spans="1:4" x14ac:dyDescent="0.25">
      <c r="A4" s="2" t="s">
        <v>17</v>
      </c>
      <c r="B4" s="2" t="s">
        <v>41</v>
      </c>
      <c r="C4" s="2" t="s">
        <v>42</v>
      </c>
      <c r="D4" s="2">
        <v>3500</v>
      </c>
    </row>
    <row r="5" spans="1:4" x14ac:dyDescent="0.25">
      <c r="A5" s="2" t="s">
        <v>21</v>
      </c>
      <c r="B5" s="2" t="s">
        <v>43</v>
      </c>
      <c r="C5" s="2" t="s">
        <v>44</v>
      </c>
      <c r="D5" s="2">
        <v>5000</v>
      </c>
    </row>
    <row r="6" spans="1:4" x14ac:dyDescent="0.25">
      <c r="A6" s="2" t="s">
        <v>24</v>
      </c>
      <c r="B6" s="2" t="s">
        <v>45</v>
      </c>
      <c r="C6" s="2" t="s">
        <v>39</v>
      </c>
      <c r="D6" s="2">
        <v>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8E877-F880-4289-AFD8-C4C47808B71F}">
  <dimension ref="A1:E2"/>
  <sheetViews>
    <sheetView workbookViewId="0">
      <selection activeCell="C4" sqref="C4"/>
    </sheetView>
  </sheetViews>
  <sheetFormatPr defaultRowHeight="15" x14ac:dyDescent="0.25"/>
  <sheetData>
    <row r="1" spans="1:5" x14ac:dyDescent="0.25">
      <c r="A1" s="1" t="s">
        <v>2</v>
      </c>
      <c r="B1" s="3" t="s">
        <v>8</v>
      </c>
      <c r="C1" s="1" t="s">
        <v>12</v>
      </c>
      <c r="D1" s="1" t="s">
        <v>16</v>
      </c>
      <c r="E1" s="1" t="s">
        <v>20</v>
      </c>
    </row>
    <row r="2" spans="1:5" x14ac:dyDescent="0.25">
      <c r="A2" s="2" t="s">
        <v>46</v>
      </c>
      <c r="B2" s="2">
        <v>150000</v>
      </c>
      <c r="C2" s="2">
        <v>140000</v>
      </c>
      <c r="D2" s="2">
        <v>120000</v>
      </c>
      <c r="E2" s="2">
        <v>160000</v>
      </c>
    </row>
  </sheetData>
  <dataValidations count="1">
    <dataValidation type="list" allowBlank="1" showInputMessage="1" showErrorMessage="1" sqref="A1 B1:E1" xr:uid="{D873D3CD-26B3-4D60-8BD4-672637734EFC}">
      <formula1>"North,South,East,West"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Product_Master</vt:lpstr>
      <vt:lpstr>Monthly 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Aachal Bawankar</dc:creator>
  <cp:lastModifiedBy>Aachal Bawankar</cp:lastModifiedBy>
  <dcterms:created xsi:type="dcterms:W3CDTF">2025-11-01T06:20:29Z</dcterms:created>
  <dcterms:modified xsi:type="dcterms:W3CDTF">2025-11-01T11:42:37Z</dcterms:modified>
</cp:coreProperties>
</file>